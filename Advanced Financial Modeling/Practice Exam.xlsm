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1" yWindow="106" windowWidth="14807" windowHeight="8007" activeTab="7"/>
  </bookViews>
  <sheets>
    <sheet name="Sheet1" sheetId="1" r:id="rId1"/>
    <sheet name="Sheet2" sheetId="2" r:id="rId2"/>
    <sheet name="Sheet3" sheetId="3" r:id="rId3"/>
    <sheet name="Sheet4" sheetId="4" r:id="rId4"/>
    <sheet name="Sheet5" sheetId="5" r:id="rId5"/>
    <sheet name="Sheet6" sheetId="6" r:id="rId6"/>
    <sheet name="Sheet7" sheetId="7" r:id="rId7"/>
    <sheet name="Sheet8" sheetId="8" r:id="rId8"/>
  </sheets>
  <functionGroups builtInGroupCount="18"/>
  <calcPr calcId="152511"/>
</workbook>
</file>

<file path=xl/calcChain.xml><?xml version="1.0" encoding="utf-8"?>
<calcChain xmlns="http://schemas.openxmlformats.org/spreadsheetml/2006/main">
  <c r="I1" i="6" l="1" a="1"/>
  <c r="I1" i="6" s="1"/>
  <c r="G8" i="5" a="1"/>
  <c r="G8" i="5" s="1"/>
  <c r="K8" i="5" a="1"/>
  <c r="K8" i="5" s="1"/>
  <c r="I8" i="5" a="1"/>
  <c r="I9" i="5" s="1"/>
  <c r="N1" i="5" a="1"/>
  <c r="N1" i="5" s="1"/>
  <c r="A2" i="4"/>
  <c r="A1" i="4"/>
  <c r="I3" i="6" l="1"/>
  <c r="I2" i="6"/>
  <c r="G10" i="5"/>
  <c r="G9" i="5"/>
  <c r="I8" i="5"/>
  <c r="I10" i="5"/>
  <c r="K9" i="5"/>
  <c r="K10" i="5"/>
  <c r="P3" i="5"/>
  <c r="P2" i="5"/>
  <c r="P1" i="5"/>
  <c r="O3" i="5"/>
  <c r="O2" i="5"/>
  <c r="O1" i="5"/>
  <c r="N3" i="5"/>
  <c r="N2" i="5"/>
  <c r="N5" i="2"/>
  <c r="O5" i="2"/>
  <c r="P5" i="2"/>
  <c r="Q5" i="2"/>
  <c r="R5" i="2"/>
  <c r="S5" i="2"/>
  <c r="T5" i="2"/>
  <c r="U5" i="2"/>
  <c r="V5" i="2"/>
  <c r="W5" i="2"/>
  <c r="C5" i="2"/>
  <c r="D5" i="2"/>
  <c r="E5" i="2"/>
  <c r="F5" i="2"/>
  <c r="G5" i="2"/>
  <c r="H5" i="2"/>
  <c r="I5" i="2"/>
  <c r="J5" i="2"/>
  <c r="K5" i="2"/>
  <c r="L5" i="2"/>
  <c r="M5" i="2"/>
  <c r="B5" i="2"/>
  <c r="F5" i="1"/>
  <c r="D15" i="1"/>
  <c r="D13" i="1"/>
</calcChain>
</file>

<file path=xl/sharedStrings.xml><?xml version="1.0" encoding="utf-8"?>
<sst xmlns="http://schemas.openxmlformats.org/spreadsheetml/2006/main" count="10" uniqueCount="10">
  <si>
    <t>Principal</t>
  </si>
  <si>
    <t>Interest</t>
  </si>
  <si>
    <t>PMT</t>
  </si>
  <si>
    <t>period</t>
  </si>
  <si>
    <t>beginning of second part</t>
  </si>
  <si>
    <t>Total debt</t>
  </si>
  <si>
    <t>mean</t>
  </si>
  <si>
    <t>variance</t>
  </si>
  <si>
    <t>skewness</t>
  </si>
  <si>
    <t>kurtosis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</si>
</sst>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¥&quot;#,##0.00_);[Red]\(&quot;¥&quot;#,##0.00\)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NumberFormat="1"/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574493</xdr:colOff>
      <xdr:row>21</xdr:row>
      <xdr:rowOff>129261</xdr:rowOff>
    </xdr:from>
    <xdr:to>
      <xdr:col>7</xdr:col>
      <xdr:colOff>1350057</xdr:colOff>
      <xdr:row>25</xdr:row>
      <xdr:rowOff>162773</xdr:rowOff>
    </xdr:to>
    <xdr:sp macro="[0]!ss" textlink="">
      <xdr:nvSpPr>
        <xdr:cNvPr id="4" name="Oval 3"/>
        <xdr:cNvSpPr/>
      </xdr:nvSpPr>
      <xdr:spPr>
        <a:xfrm>
          <a:off x="8952503" y="3949634"/>
          <a:ext cx="775564" cy="761202"/>
        </a:xfrm>
        <a:prstGeom prst="ellipse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RUN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363845</xdr:colOff>
      <xdr:row>20</xdr:row>
      <xdr:rowOff>134048</xdr:rowOff>
    </xdr:from>
    <xdr:to>
      <xdr:col>15</xdr:col>
      <xdr:colOff>339908</xdr:colOff>
      <xdr:row>24</xdr:row>
      <xdr:rowOff>23937</xdr:rowOff>
    </xdr:to>
    <xdr:sp macro="[0]!jump.jump" textlink="">
      <xdr:nvSpPr>
        <xdr:cNvPr id="3" name="Oval 2"/>
        <xdr:cNvSpPr/>
      </xdr:nvSpPr>
      <xdr:spPr>
        <a:xfrm>
          <a:off x="9479120" y="3772498"/>
          <a:ext cx="627154" cy="617579"/>
        </a:xfrm>
        <a:prstGeom prst="ellipse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C5:F15"/>
  <sheetViews>
    <sheetView workbookViewId="0">
      <selection activeCell="C12" sqref="C12"/>
    </sheetView>
  </sheetViews>
  <sheetFormatPr defaultRowHeight="14.35" x14ac:dyDescent="0.45"/>
  <cols>
    <col min="1" max="1" width="11.46484375" customWidth="1"/>
    <col min="2" max="2" width="20.1328125" customWidth="1"/>
    <col min="3" max="3" width="18.796875" customWidth="1"/>
    <col min="4" max="4" width="17.06640625" customWidth="1"/>
    <col min="5" max="5" width="16.06640625" customWidth="1"/>
    <col min="6" max="6" width="19.1328125" customWidth="1"/>
    <col min="7" max="7" width="14" customWidth="1"/>
    <col min="8" max="8" width="27.46484375" customWidth="1"/>
  </cols>
  <sheetData>
    <row r="5" spans="3:6" x14ac:dyDescent="0.45">
      <c r="F5" s="2">
        <f>FV(0.01,10,-10,100)</f>
        <v>-5.8400871299157444</v>
      </c>
    </row>
    <row r="10" spans="3:6" x14ac:dyDescent="0.45">
      <c r="C10">
        <v>-10</v>
      </c>
    </row>
    <row r="11" spans="3:6" x14ac:dyDescent="0.45">
      <c r="C11">
        <v>2</v>
      </c>
    </row>
    <row r="12" spans="3:6" x14ac:dyDescent="0.45">
      <c r="C12">
        <v>2</v>
      </c>
    </row>
    <row r="13" spans="3:6" x14ac:dyDescent="0.45">
      <c r="C13">
        <v>2</v>
      </c>
      <c r="D13">
        <f>myirr(-10,2,2,2,3,4)</f>
        <v>8.2730579376220706E-2</v>
      </c>
    </row>
    <row r="14" spans="3:6" x14ac:dyDescent="0.45">
      <c r="C14">
        <v>3</v>
      </c>
    </row>
    <row r="15" spans="3:6" x14ac:dyDescent="0.45">
      <c r="C15">
        <v>4</v>
      </c>
      <c r="D15" s="1">
        <f>IRR(C10:C15)</f>
        <v>8.2730956152209156E-2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W11"/>
  <sheetViews>
    <sheetView workbookViewId="0">
      <selection activeCell="C25" sqref="C25"/>
    </sheetView>
  </sheetViews>
  <sheetFormatPr defaultRowHeight="14.35" x14ac:dyDescent="0.45"/>
  <cols>
    <col min="6" max="6" width="8.73046875" customWidth="1"/>
    <col min="7" max="7" width="21.19921875" customWidth="1"/>
    <col min="8" max="8" width="18.9296875" customWidth="1"/>
    <col min="9" max="9" width="10.46484375" customWidth="1"/>
  </cols>
  <sheetData>
    <row r="1" spans="1:23" x14ac:dyDescent="0.45">
      <c r="A1" t="s">
        <v>3</v>
      </c>
      <c r="B1">
        <v>0</v>
      </c>
      <c r="C1">
        <v>1</v>
      </c>
      <c r="D1">
        <v>2</v>
      </c>
      <c r="E1">
        <v>3</v>
      </c>
      <c r="F1">
        <v>4</v>
      </c>
      <c r="G1" t="s">
        <v>4</v>
      </c>
      <c r="H1">
        <v>5</v>
      </c>
      <c r="I1">
        <v>6</v>
      </c>
      <c r="J1">
        <v>7</v>
      </c>
      <c r="K1">
        <v>8</v>
      </c>
      <c r="L1">
        <v>9</v>
      </c>
      <c r="M1">
        <v>10</v>
      </c>
      <c r="N1">
        <v>11</v>
      </c>
      <c r="O1">
        <v>12</v>
      </c>
      <c r="P1">
        <v>13</v>
      </c>
      <c r="Q1">
        <v>14</v>
      </c>
      <c r="R1">
        <v>15</v>
      </c>
      <c r="S1">
        <v>16</v>
      </c>
      <c r="T1">
        <v>17</v>
      </c>
      <c r="U1">
        <v>18</v>
      </c>
      <c r="V1">
        <v>19</v>
      </c>
      <c r="W1">
        <v>20</v>
      </c>
    </row>
    <row r="2" spans="1:23" x14ac:dyDescent="0.45">
      <c r="A2" t="s">
        <v>0</v>
      </c>
      <c r="B2">
        <v>1000</v>
      </c>
      <c r="C2">
        <v>750</v>
      </c>
      <c r="D2">
        <v>500</v>
      </c>
      <c r="E2">
        <v>250</v>
      </c>
      <c r="F2">
        <v>0</v>
      </c>
      <c r="G2">
        <v>52.030159999999995</v>
      </c>
      <c r="H2">
        <v>42.741433420069441</v>
      </c>
      <c r="I2">
        <v>33.452706840138887</v>
      </c>
      <c r="J2">
        <v>24.16398026020833</v>
      </c>
      <c r="K2">
        <v>14.875253680277773</v>
      </c>
      <c r="L2">
        <v>5.5865271003472152</v>
      </c>
      <c r="M2">
        <v>0</v>
      </c>
      <c r="N2">
        <v>48.470144580123133</v>
      </c>
      <c r="O2">
        <v>40.307349960143654</v>
      </c>
      <c r="P2">
        <v>32.144555340164175</v>
      </c>
      <c r="Q2">
        <v>23.981760720184699</v>
      </c>
      <c r="R2">
        <v>15.818966100205223</v>
      </c>
      <c r="S2">
        <v>7.6561714802257477</v>
      </c>
      <c r="T2">
        <v>0</v>
      </c>
      <c r="U2">
        <v>0</v>
      </c>
      <c r="V2">
        <v>0</v>
      </c>
      <c r="W2">
        <v>0</v>
      </c>
    </row>
    <row r="3" spans="1:23" x14ac:dyDescent="0.45">
      <c r="A3" t="s">
        <v>1</v>
      </c>
      <c r="B3">
        <v>0</v>
      </c>
      <c r="C3">
        <v>20</v>
      </c>
      <c r="D3">
        <v>35.4</v>
      </c>
      <c r="E3">
        <v>46.107999999999997</v>
      </c>
      <c r="F3">
        <v>52.030159999999995</v>
      </c>
      <c r="G3">
        <v>0</v>
      </c>
      <c r="H3">
        <v>1.0406031999999998</v>
      </c>
      <c r="I3">
        <v>1.9162439324013887</v>
      </c>
      <c r="J3">
        <v>2.6236229478521942</v>
      </c>
      <c r="K3">
        <v>3.1593750120134048</v>
      </c>
      <c r="L3">
        <v>3.5200675858592283</v>
      </c>
      <c r="M3">
        <v>1.4210854715202004E-14</v>
      </c>
      <c r="N3">
        <v>15.086263437965806</v>
      </c>
      <c r="O3">
        <v>16.992955678508473</v>
      </c>
      <c r="P3">
        <v>18.711964847668035</v>
      </c>
      <c r="Q3">
        <v>20.237660453303</v>
      </c>
      <c r="R3">
        <v>21.564243088507631</v>
      </c>
      <c r="S3">
        <v>22.685739364169017</v>
      </c>
      <c r="T3">
        <v>23.08937354974713</v>
      </c>
      <c r="U3">
        <v>15.619260136260067</v>
      </c>
      <c r="V3">
        <v>7.9250433203683919</v>
      </c>
      <c r="W3">
        <v>-3.1974423109204508E-14</v>
      </c>
    </row>
    <row r="4" spans="1:23" x14ac:dyDescent="0.45">
      <c r="A4" t="s">
        <v>2</v>
      </c>
      <c r="B4">
        <v>0</v>
      </c>
      <c r="C4">
        <v>250</v>
      </c>
      <c r="D4">
        <v>250</v>
      </c>
      <c r="E4">
        <v>250</v>
      </c>
      <c r="F4">
        <v>250</v>
      </c>
      <c r="G4">
        <v>0</v>
      </c>
      <c r="H4">
        <v>9.2887265799305574</v>
      </c>
      <c r="I4">
        <v>9.2887265799305574</v>
      </c>
      <c r="J4">
        <v>9.2887265799305574</v>
      </c>
      <c r="K4">
        <v>9.2887265799305574</v>
      </c>
      <c r="L4">
        <v>9.2887265799305574</v>
      </c>
      <c r="M4">
        <v>9.2887265799305574</v>
      </c>
      <c r="N4">
        <v>8.1627946199794756</v>
      </c>
      <c r="O4">
        <v>8.1627946199794756</v>
      </c>
      <c r="P4">
        <v>8.1627946199794756</v>
      </c>
      <c r="Q4">
        <v>8.1627946199794756</v>
      </c>
      <c r="R4">
        <v>8.1627946199794756</v>
      </c>
      <c r="S4">
        <v>8.1627946199794756</v>
      </c>
      <c r="T4">
        <v>8.1627946199794756</v>
      </c>
      <c r="U4">
        <v>8.1627946199794756</v>
      </c>
      <c r="V4">
        <v>8.1627946199794756</v>
      </c>
      <c r="W4">
        <v>8.1627946199794756</v>
      </c>
    </row>
    <row r="5" spans="1:23" x14ac:dyDescent="0.45">
      <c r="A5" t="s">
        <v>5</v>
      </c>
      <c r="B5">
        <f>B2+B3</f>
        <v>1000</v>
      </c>
      <c r="C5">
        <f t="shared" ref="C5:W5" si="0">C2+C3</f>
        <v>770</v>
      </c>
      <c r="D5">
        <f t="shared" si="0"/>
        <v>535.4</v>
      </c>
      <c r="E5">
        <f t="shared" si="0"/>
        <v>296.108</v>
      </c>
      <c r="F5">
        <f t="shared" si="0"/>
        <v>52.030159999999995</v>
      </c>
      <c r="G5">
        <f t="shared" si="0"/>
        <v>52.030159999999995</v>
      </c>
      <c r="H5">
        <f t="shared" si="0"/>
        <v>43.782036620069441</v>
      </c>
      <c r="I5">
        <f t="shared" si="0"/>
        <v>35.368950772540273</v>
      </c>
      <c r="J5">
        <f t="shared" si="0"/>
        <v>26.787603208060524</v>
      </c>
      <c r="K5">
        <f t="shared" si="0"/>
        <v>18.034628692291179</v>
      </c>
      <c r="L5">
        <f t="shared" si="0"/>
        <v>9.106594686206444</v>
      </c>
      <c r="M5">
        <f t="shared" si="0"/>
        <v>1.4210854715202004E-14</v>
      </c>
      <c r="N5">
        <f t="shared" si="0"/>
        <v>63.556408018088938</v>
      </c>
      <c r="O5">
        <f t="shared" si="0"/>
        <v>57.300305638652127</v>
      </c>
      <c r="P5">
        <f t="shared" si="0"/>
        <v>50.85652018783221</v>
      </c>
      <c r="Q5">
        <f t="shared" si="0"/>
        <v>44.219421173487703</v>
      </c>
      <c r="R5">
        <f t="shared" si="0"/>
        <v>37.383209188712854</v>
      </c>
      <c r="S5">
        <f t="shared" si="0"/>
        <v>30.341910844394764</v>
      </c>
      <c r="T5">
        <f t="shared" si="0"/>
        <v>23.08937354974713</v>
      </c>
      <c r="U5">
        <f t="shared" si="0"/>
        <v>15.619260136260067</v>
      </c>
      <c r="V5">
        <f t="shared" si="0"/>
        <v>7.9250433203683919</v>
      </c>
      <c r="W5">
        <f t="shared" si="0"/>
        <v>-3.1974423109204508E-14</v>
      </c>
    </row>
    <row r="7" spans="1:23" x14ac:dyDescent="0.45">
      <c r="N7" s="2"/>
    </row>
    <row r="8" spans="1:23" x14ac:dyDescent="0.45">
      <c r="N8" s="2"/>
    </row>
    <row r="11" spans="1:23" x14ac:dyDescent="0.45">
      <c r="F11" s="2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4"/>
  <sheetViews>
    <sheetView workbookViewId="0">
      <selection activeCell="B19" sqref="B19"/>
    </sheetView>
  </sheetViews>
  <sheetFormatPr defaultRowHeight="14.35" x14ac:dyDescent="0.45"/>
  <sheetData>
    <row r="1" spans="1:2" x14ac:dyDescent="0.45">
      <c r="A1" t="s">
        <v>6</v>
      </c>
      <c r="B1">
        <v>-2.9912336422355857E-3</v>
      </c>
    </row>
    <row r="2" spans="1:2" x14ac:dyDescent="0.45">
      <c r="A2" t="s">
        <v>7</v>
      </c>
      <c r="B2">
        <v>1.0048402122544617</v>
      </c>
    </row>
    <row r="3" spans="1:2" x14ac:dyDescent="0.45">
      <c r="A3" t="s">
        <v>8</v>
      </c>
      <c r="B3">
        <v>-2.6698451934368782E-3</v>
      </c>
    </row>
    <row r="4" spans="1:2" x14ac:dyDescent="0.45">
      <c r="A4" t="s">
        <v>9</v>
      </c>
      <c r="B4">
        <v>-8.0801892510842244E-3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2"/>
  <sheetViews>
    <sheetView workbookViewId="0">
      <selection activeCell="K11" sqref="K11"/>
    </sheetView>
  </sheetViews>
  <sheetFormatPr defaultRowHeight="14.35" x14ac:dyDescent="0.45"/>
  <sheetData>
    <row r="1" spans="1:1" x14ac:dyDescent="0.45">
      <c r="A1">
        <f>SQRT(1.25)+1.5</f>
        <v>2.6180339887498949</v>
      </c>
    </row>
    <row r="2" spans="1:1" x14ac:dyDescent="0.45">
      <c r="A2">
        <f>1.5-SQRT(1.25)</f>
        <v>0.3819660112501051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P13"/>
  <sheetViews>
    <sheetView workbookViewId="0">
      <selection sqref="A1:C3"/>
    </sheetView>
  </sheetViews>
  <sheetFormatPr defaultRowHeight="14.35" x14ac:dyDescent="0.45"/>
  <sheetData>
    <row r="1" spans="1:16" x14ac:dyDescent="0.45">
      <c r="A1">
        <v>60</v>
      </c>
      <c r="B1">
        <v>30</v>
      </c>
      <c r="C1">
        <v>20</v>
      </c>
      <c r="F1">
        <v>1</v>
      </c>
      <c r="G1">
        <v>0</v>
      </c>
      <c r="H1">
        <v>0</v>
      </c>
      <c r="J1">
        <v>60</v>
      </c>
      <c r="K1">
        <v>30</v>
      </c>
      <c r="L1">
        <v>20</v>
      </c>
      <c r="N1">
        <f t="array" ref="N1:P3">MMULT(F1:H3,J1:L3)</f>
        <v>60</v>
      </c>
      <c r="O1">
        <v>30</v>
      </c>
      <c r="P1">
        <v>20</v>
      </c>
    </row>
    <row r="2" spans="1:16" x14ac:dyDescent="0.45">
      <c r="A2">
        <v>30</v>
      </c>
      <c r="B2">
        <v>20</v>
      </c>
      <c r="C2">
        <v>15</v>
      </c>
      <c r="F2">
        <v>0.5</v>
      </c>
      <c r="G2">
        <v>1</v>
      </c>
      <c r="H2">
        <v>0</v>
      </c>
      <c r="J2">
        <v>0</v>
      </c>
      <c r="K2">
        <v>5</v>
      </c>
      <c r="L2">
        <v>5</v>
      </c>
      <c r="N2">
        <v>30</v>
      </c>
      <c r="O2">
        <v>20</v>
      </c>
      <c r="P2">
        <v>15</v>
      </c>
    </row>
    <row r="3" spans="1:16" x14ac:dyDescent="0.45">
      <c r="A3">
        <v>20</v>
      </c>
      <c r="B3">
        <v>15</v>
      </c>
      <c r="C3">
        <v>12</v>
      </c>
      <c r="F3">
        <v>0.33333333333333331</v>
      </c>
      <c r="G3">
        <v>1</v>
      </c>
      <c r="H3">
        <v>1</v>
      </c>
      <c r="J3">
        <v>0</v>
      </c>
      <c r="K3">
        <v>0</v>
      </c>
      <c r="L3">
        <v>0.33333333333333393</v>
      </c>
      <c r="N3">
        <v>20</v>
      </c>
      <c r="O3">
        <v>15</v>
      </c>
      <c r="P3">
        <v>12</v>
      </c>
    </row>
    <row r="8" spans="1:16" x14ac:dyDescent="0.45">
      <c r="G8">
        <f t="array" ref="G8:G10">MMULT(A1:C3,A11:A13)</f>
        <v>10</v>
      </c>
      <c r="I8">
        <f t="array" ref="I8:I10">MMULT(F1:H3,C11:C13)</f>
        <v>10</v>
      </c>
      <c r="K8">
        <f t="array" ref="K8:K10">MMULT(J1:L3,A11:A13)</f>
        <v>10</v>
      </c>
    </row>
    <row r="9" spans="1:16" x14ac:dyDescent="0.45">
      <c r="G9">
        <v>19.999999999999943</v>
      </c>
      <c r="I9">
        <v>20</v>
      </c>
      <c r="K9">
        <v>15</v>
      </c>
    </row>
    <row r="10" spans="1:16" x14ac:dyDescent="0.45">
      <c r="G10">
        <v>30</v>
      </c>
      <c r="I10">
        <v>30</v>
      </c>
      <c r="K10">
        <v>11.666666666666668</v>
      </c>
    </row>
    <row r="11" spans="1:16" x14ac:dyDescent="0.45">
      <c r="A11">
        <v>4.4999999999999902</v>
      </c>
      <c r="C11">
        <v>10</v>
      </c>
    </row>
    <row r="12" spans="1:16" x14ac:dyDescent="0.45">
      <c r="A12">
        <v>-31.999999999999943</v>
      </c>
      <c r="C12">
        <v>15</v>
      </c>
    </row>
    <row r="13" spans="1:16" x14ac:dyDescent="0.45">
      <c r="A13">
        <v>34.999999999999943</v>
      </c>
      <c r="C13">
        <v>11.666666666666668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3"/>
  <sheetViews>
    <sheetView workbookViewId="0">
      <selection activeCell="H13" sqref="H13"/>
    </sheetView>
  </sheetViews>
  <sheetFormatPr defaultRowHeight="14.35" x14ac:dyDescent="0.45"/>
  <sheetData>
    <row r="1" spans="1:9" x14ac:dyDescent="0.45">
      <c r="A1">
        <v>1</v>
      </c>
      <c r="B1">
        <v>2</v>
      </c>
      <c r="C1">
        <v>0</v>
      </c>
      <c r="E1">
        <v>10</v>
      </c>
      <c r="G1">
        <v>0.72727272727272663</v>
      </c>
      <c r="I1">
        <f t="array" ref="I1:I3">MMULT(A1:C3,G1:G3)</f>
        <v>10</v>
      </c>
    </row>
    <row r="2" spans="1:9" x14ac:dyDescent="0.45">
      <c r="A2">
        <v>3</v>
      </c>
      <c r="B2">
        <v>3</v>
      </c>
      <c r="C2">
        <v>3</v>
      </c>
      <c r="E2">
        <v>12</v>
      </c>
      <c r="G2">
        <v>4.6363636363636367</v>
      </c>
      <c r="I2">
        <v>12</v>
      </c>
    </row>
    <row r="3" spans="1:9" x14ac:dyDescent="0.45">
      <c r="A3">
        <v>0</v>
      </c>
      <c r="B3">
        <v>5</v>
      </c>
      <c r="C3">
        <v>6</v>
      </c>
      <c r="E3">
        <v>15</v>
      </c>
      <c r="G3">
        <v>-1.3636363636363635</v>
      </c>
      <c r="I3">
        <v>15.000000000000002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1"/>
  <sheetViews>
    <sheetView workbookViewId="0">
      <selection activeCell="I17" sqref="I17"/>
    </sheetView>
  </sheetViews>
  <sheetFormatPr defaultRowHeight="14.35" x14ac:dyDescent="0.45"/>
  <sheetData>
    <row r="1" spans="1:11" x14ac:dyDescent="0.45">
      <c r="A1">
        <v>0</v>
      </c>
      <c r="B1">
        <v>0</v>
      </c>
      <c r="C1">
        <v>0</v>
      </c>
      <c r="D1">
        <v>0</v>
      </c>
      <c r="E1">
        <v>0</v>
      </c>
      <c r="F1">
        <v>0</v>
      </c>
      <c r="G1">
        <v>0</v>
      </c>
      <c r="H1">
        <v>0</v>
      </c>
      <c r="I1">
        <v>0</v>
      </c>
      <c r="J1">
        <v>0</v>
      </c>
      <c r="K1">
        <v>0</v>
      </c>
    </row>
    <row r="2" spans="1:11" x14ac:dyDescent="0.45">
      <c r="A2">
        <v>0.2</v>
      </c>
      <c r="B2">
        <v>0</v>
      </c>
      <c r="C2">
        <v>1.9000000000000097</v>
      </c>
      <c r="D2">
        <v>-36.100000000000662</v>
      </c>
      <c r="E2">
        <v>893.47500000002879</v>
      </c>
      <c r="F2">
        <v>-55472.162500001083</v>
      </c>
      <c r="G2">
        <v>3659619.4500000379</v>
      </c>
      <c r="H2">
        <v>-205406665.90937626</v>
      </c>
      <c r="I2">
        <v>10217068862.876602</v>
      </c>
      <c r="J2">
        <v>-469720951842.52466</v>
      </c>
      <c r="K2">
        <v>20498544185952.734</v>
      </c>
    </row>
    <row r="3" spans="1:11" x14ac:dyDescent="0.45">
      <c r="A3">
        <v>0.4</v>
      </c>
      <c r="B3">
        <v>0.20000000000000107</v>
      </c>
      <c r="C3">
        <v>-5.0626169922907138E-14</v>
      </c>
      <c r="D3">
        <v>21.850000000001714</v>
      </c>
      <c r="E3">
        <v>-4052.2250000000572</v>
      </c>
      <c r="F3">
        <v>274278.77500000189</v>
      </c>
      <c r="G3">
        <v>-14302515.406250061</v>
      </c>
      <c r="H3">
        <v>664667601.11562693</v>
      </c>
      <c r="I3">
        <v>-29010172994.512558</v>
      </c>
      <c r="J3">
        <v>1218299589573.1338</v>
      </c>
      <c r="K3">
        <v>-49871058120513.359</v>
      </c>
    </row>
    <row r="4" spans="1:11" x14ac:dyDescent="0.45">
      <c r="A4">
        <v>0.60000000000000009</v>
      </c>
      <c r="B4">
        <v>0.3999999999999968</v>
      </c>
      <c r="C4">
        <v>0.20000000000006857</v>
      </c>
      <c r="D4">
        <v>-342.95000000000192</v>
      </c>
      <c r="E4">
        <v>19779.475000000057</v>
      </c>
      <c r="F4">
        <v>-895659.05000000168</v>
      </c>
      <c r="G4">
        <v>37315137.281250052</v>
      </c>
      <c r="H4">
        <v>-1497338798.0281265</v>
      </c>
      <c r="I4">
        <v>58929166275.49379</v>
      </c>
      <c r="J4">
        <v>-2293820623608.1392</v>
      </c>
      <c r="K4">
        <v>88686929358260.25</v>
      </c>
    </row>
    <row r="5" spans="1:11" x14ac:dyDescent="0.45">
      <c r="A5">
        <v>0.8</v>
      </c>
      <c r="B5">
        <v>0.59999999999999964</v>
      </c>
      <c r="C5">
        <v>-35.700000000000017</v>
      </c>
      <c r="D5">
        <v>1372.0000000000007</v>
      </c>
      <c r="E5">
        <v>-50242.175000000025</v>
      </c>
      <c r="F5">
        <v>1833440.8625000007</v>
      </c>
      <c r="G5">
        <v>-67176292.412500024</v>
      </c>
      <c r="H5">
        <v>2473759926.4468751</v>
      </c>
      <c r="I5">
        <v>-91532594519.092178</v>
      </c>
      <c r="J5">
        <v>3401283349388.1802</v>
      </c>
      <c r="K5">
        <v>-126857611182464.5</v>
      </c>
    </row>
    <row r="6" spans="1:11" x14ac:dyDescent="0.45">
      <c r="A6">
        <v>1</v>
      </c>
      <c r="B6">
        <v>-3</v>
      </c>
      <c r="C6">
        <v>72.8</v>
      </c>
      <c r="D6">
        <v>-2165.6</v>
      </c>
      <c r="E6">
        <v>70647.899999999994</v>
      </c>
      <c r="F6">
        <v>-2414367.9999999995</v>
      </c>
      <c r="G6">
        <v>84800150.43749997</v>
      </c>
      <c r="H6">
        <v>-3032536688.1374989</v>
      </c>
      <c r="I6">
        <v>109832400803.44681</v>
      </c>
      <c r="J6">
        <v>-4015590631179.3311</v>
      </c>
      <c r="K6">
        <v>147885999286268.37</v>
      </c>
    </row>
    <row r="7" spans="1:11" x14ac:dyDescent="0.45">
      <c r="A7">
        <v>0.79999999999999982</v>
      </c>
      <c r="B7">
        <v>1.0000000000000018</v>
      </c>
      <c r="C7">
        <v>-42.90000000000002</v>
      </c>
      <c r="D7">
        <v>1589</v>
      </c>
      <c r="E7">
        <v>-57317.374999999985</v>
      </c>
      <c r="F7">
        <v>2071160.9874999991</v>
      </c>
      <c r="G7">
        <v>-75366606.262499958</v>
      </c>
      <c r="H7">
        <v>2762076263.2781229</v>
      </c>
      <c r="I7">
        <v>-101861344575.0921</v>
      </c>
      <c r="J7">
        <v>3776452855293.1807</v>
      </c>
      <c r="K7">
        <v>-140631067381499.28</v>
      </c>
    </row>
    <row r="8" spans="1:11" x14ac:dyDescent="0.45">
      <c r="A8">
        <v>0.59999999999999987</v>
      </c>
      <c r="B8">
        <v>0.80000000000000071</v>
      </c>
      <c r="C8">
        <v>0.99999999999999289</v>
      </c>
      <c r="D8">
        <v>-461.84999999999974</v>
      </c>
      <c r="E8">
        <v>25297.674999999985</v>
      </c>
      <c r="F8">
        <v>-1122492.9999999991</v>
      </c>
      <c r="G8">
        <v>46285175.231249958</v>
      </c>
      <c r="H8">
        <v>-1846343194.459373</v>
      </c>
      <c r="I8">
        <v>72404957887.393661</v>
      </c>
      <c r="J8">
        <v>-2812080158267.9893</v>
      </c>
      <c r="K8">
        <v>108571091764783.12</v>
      </c>
    </row>
    <row r="9" spans="1:11" x14ac:dyDescent="0.45">
      <c r="A9">
        <v>0.39999999999999991</v>
      </c>
      <c r="B9">
        <v>0.59999999999999876</v>
      </c>
      <c r="C9">
        <v>0.80000000000003091</v>
      </c>
      <c r="D9">
        <v>-17.050000000000765</v>
      </c>
      <c r="E9">
        <v>-4211.0249999999769</v>
      </c>
      <c r="F9">
        <v>337959.77499999915</v>
      </c>
      <c r="G9">
        <v>-18481631.506249964</v>
      </c>
      <c r="H9">
        <v>876066992.44687355</v>
      </c>
      <c r="I9">
        <v>-38614930565.162437</v>
      </c>
      <c r="J9">
        <v>1630401450222.4153</v>
      </c>
      <c r="K9">
        <v>-66949157061581.937</v>
      </c>
    </row>
    <row r="10" spans="1:11" x14ac:dyDescent="0.45">
      <c r="A10">
        <v>0.19999999999999996</v>
      </c>
      <c r="B10">
        <v>0.39999999999999991</v>
      </c>
      <c r="C10">
        <v>-1.3000000000000114</v>
      </c>
      <c r="D10">
        <v>33.100000000000534</v>
      </c>
      <c r="E10">
        <v>-807.92500000001792</v>
      </c>
      <c r="F10">
        <v>-28865.187499999411</v>
      </c>
      <c r="G10">
        <v>4097016.1999999792</v>
      </c>
      <c r="H10">
        <v>-271900438.61562419</v>
      </c>
      <c r="I10">
        <v>14364811754.38903</v>
      </c>
      <c r="J10">
        <v>-678388194267.59705</v>
      </c>
      <c r="K10">
        <v>30008590918419.699</v>
      </c>
    </row>
    <row r="11" spans="1:11" x14ac:dyDescent="0.45">
      <c r="A11">
        <v>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D5"/>
  <sheetViews>
    <sheetView tabSelected="1" workbookViewId="0">
      <selection activeCell="D11" sqref="D11"/>
    </sheetView>
  </sheetViews>
  <sheetFormatPr defaultRowHeight="14.35" x14ac:dyDescent="0.45"/>
  <sheetData>
    <row r="1" spans="1:4" x14ac:dyDescent="0.45">
      <c r="A1">
        <v>1</v>
      </c>
      <c r="B1">
        <v>2</v>
      </c>
    </row>
    <row r="2" spans="1:4" x14ac:dyDescent="0.45">
      <c r="A2">
        <v>2</v>
      </c>
      <c r="B2">
        <v>4</v>
      </c>
      <c r="C2">
        <v>6</v>
      </c>
      <c r="D2">
        <v>8</v>
      </c>
    </row>
    <row r="3" spans="1:4" x14ac:dyDescent="0.45">
      <c r="A3">
        <v>3</v>
      </c>
      <c r="B3">
        <v>6</v>
      </c>
    </row>
    <row r="4" spans="1:4" x14ac:dyDescent="0.45">
      <c r="A4">
        <v>4</v>
      </c>
      <c r="B4">
        <v>8</v>
      </c>
    </row>
    <row r="5" spans="1:4" x14ac:dyDescent="0.45">
      <c r="A5">
        <v>5</v>
      </c>
      <c r="B5">
        <v>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Sheet1</vt:lpstr>
      <vt:lpstr>Sheet2</vt:lpstr>
      <vt:lpstr>Sheet3</vt:lpstr>
      <vt:lpstr>Sheet4</vt:lpstr>
      <vt:lpstr>Sheet5</vt:lpstr>
      <vt:lpstr>Sheet6</vt:lpstr>
      <vt:lpstr>Sheet7</vt:lpstr>
      <vt:lpstr>Sheet8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2015-10-25T00:59:41Z</dcterms:modified>
</cp:coreProperties>
</file>